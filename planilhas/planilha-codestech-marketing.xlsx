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esumo_Info" sheetId="1" r:id="rId4"/>
    <sheet state="visible" name="2_Analise_Fin" sheetId="2" r:id="rId5"/>
    <sheet state="visible" name="3_Perfil_Crescimento" sheetId="3" r:id="rId6"/>
    <sheet state="visible" name="4_Recomendacao" sheetId="4" r:id="rId7"/>
    <sheet state="visible" name="5_Relatorio" sheetId="5" r:id="rId8"/>
    <sheet state="visible" name="6_Ticket_Medio" sheetId="6" r:id="rId9"/>
    <sheet state="visible" name="7_Margem_Markup" sheetId="7" r:id="rId10"/>
    <sheet state="visible" name="8_Custos_Estoque" sheetId="8" r:id="rId11"/>
    <sheet state="visible" name="9_Clientes_Conversao_CAC" sheetId="9" r:id="rId12"/>
    <sheet state="visible" name="10_Canais_Venda" sheetId="10" r:id="rId13"/>
    <sheet state="visible" name="11_Crescimento_Caixa_Dividas" sheetId="11" r:id="rId14"/>
    <sheet state="visible" name="12_Penetracao_Mercado" sheetId="12" r:id="rId15"/>
  </sheets>
  <definedNames/>
  <calcPr/>
  <extLst>
    <ext uri="GoogleSheetsCustomDataVersion2">
      <go:sheetsCustomData xmlns:go="http://customooxmlschemas.google.com/" r:id="rId16" roundtripDataChecksum="++2NfCfYTswXCGEiXxXUIUovMct6V+IBztUWs24tCfY="/>
    </ext>
  </extLst>
</workbook>
</file>

<file path=xl/sharedStrings.xml><?xml version="1.0" encoding="utf-8"?>
<sst xmlns="http://schemas.openxmlformats.org/spreadsheetml/2006/main" count="165" uniqueCount="146">
  <si>
    <t>Pergunta</t>
  </si>
  <si>
    <t>Resposta do Cliente</t>
  </si>
  <si>
    <t>Nome da Empresa</t>
  </si>
  <si>
    <t>MaxDistribuidora</t>
  </si>
  <si>
    <t>Segmento / Nicho</t>
  </si>
  <si>
    <t>Distribuição de bebidas</t>
  </si>
  <si>
    <t>Cidade / Região de Atuação</t>
  </si>
  <si>
    <t>Porto</t>
  </si>
  <si>
    <t>Tempo de Mercado (anos)</t>
  </si>
  <si>
    <t>Faturamento Mensal Médio (€)</t>
  </si>
  <si>
    <t>Faturamento Anual Estimado (€)</t>
  </si>
  <si>
    <t>Ticket Médio (€)</t>
  </si>
  <si>
    <t>Margem Bruta (%)</t>
  </si>
  <si>
    <t>Markup (%)</t>
  </si>
  <si>
    <t>Custo Fixo Mensal (€)</t>
  </si>
  <si>
    <t>Custo Variável Médio Mensal (€)</t>
  </si>
  <si>
    <t>Número de Funcionários</t>
  </si>
  <si>
    <t>Estoque Médio Mensal (€)</t>
  </si>
  <si>
    <t>Percentual de Clientes Recorrentes (%)</t>
  </si>
  <si>
    <t>Taxa de Conversão (Leads → Vendas) (%)</t>
  </si>
  <si>
    <t>CAC Atual (Custo para adquirir 1 cliente) (€)</t>
  </si>
  <si>
    <t>Percentual de Vendas Online (%)</t>
  </si>
  <si>
    <t>Percentual de Vendas Presenciais (%)</t>
  </si>
  <si>
    <t>Investimento Atual em Marketing (€ / mês)</t>
  </si>
  <si>
    <t>Meta de Crescimento em 12 meses (%)</t>
  </si>
  <si>
    <t>Situação de Caixa (Sobra, Equilíbrio, Aperto)</t>
  </si>
  <si>
    <t>Dívidas / Financiamentos Relevantes (€)</t>
  </si>
  <si>
    <t>Índice de Penetração no Mercado (Baixo / Médio / Alto)</t>
  </si>
  <si>
    <t>Principais Concorrentes</t>
  </si>
  <si>
    <t>5 distribuidores grandes</t>
  </si>
  <si>
    <t>Principais Canais de Venda Hoje</t>
  </si>
  <si>
    <t>Vendedor externo, WhatsApp, telefone</t>
  </si>
  <si>
    <t>Principais Desafios Percebidos pelo Dono</t>
  </si>
  <si>
    <t>Baixa margem, alta concorrência</t>
  </si>
  <si>
    <t>Indicador</t>
  </si>
  <si>
    <t>Descrição / Observação</t>
  </si>
  <si>
    <t>Valor / Cálculo</t>
  </si>
  <si>
    <t>Puxado automaticamente da aba 1 (Resumo)</t>
  </si>
  <si>
    <t>Lucro Bruto Mensal (€)</t>
  </si>
  <si>
    <t>Cálculo: Faturamento x Margem</t>
  </si>
  <si>
    <t>Lucro Operacional Estimado (€)</t>
  </si>
  <si>
    <t>Cálculo: Lucro bruto - custo fixo</t>
  </si>
  <si>
    <t>Ponto de Equilíbrio (estimado) (€)</t>
  </si>
  <si>
    <t>Cálculo: custo fixo dividido pela margem</t>
  </si>
  <si>
    <t>Investimento Seguro em Marketing (3% faturamento) (€)</t>
  </si>
  <si>
    <t>3% do faturamento mensal</t>
  </si>
  <si>
    <t>Investimento Moderado em Marketing (5% faturamento) (€)</t>
  </si>
  <si>
    <t>5% do faturamento mensal</t>
  </si>
  <si>
    <t>Investimento Agressivo em Marketing (10% faturamento) (€)</t>
  </si>
  <si>
    <t>10% do faturamento mensal</t>
  </si>
  <si>
    <t>Grau de Risco (Baixo / Médio / Alto)</t>
  </si>
  <si>
    <t>Definido automaticamente pela relação lucro x faturamento</t>
  </si>
  <si>
    <t>CAC Máximo Recomendado (€)</t>
  </si>
  <si>
    <t>20% do ticket médio (aba 1)</t>
  </si>
  <si>
    <t>Custo Máximo por Lead Recomendado (€)</t>
  </si>
  <si>
    <t>5% do ticket médio (aba 1)</t>
  </si>
  <si>
    <t>Critério</t>
  </si>
  <si>
    <t>Avaliação (Baixo / Médio / Alto ou Descrição)</t>
  </si>
  <si>
    <t>Comentário Estratégico</t>
  </si>
  <si>
    <t>Situação de Caixa</t>
  </si>
  <si>
    <t>Baseado na relação entre lucro operacional e faturamento.</t>
  </si>
  <si>
    <t>Classificação automática com base na margem bruta calculada.</t>
  </si>
  <si>
    <t>Crescimento de Faturamento nos últimos 12 meses</t>
  </si>
  <si>
    <t>Usa a meta/resultado de crescimento em 12 meses.</t>
  </si>
  <si>
    <t>Capacidade de Investimento em Marketing</t>
  </si>
  <si>
    <t>Compara investimento recomendado com capacidade de lucro.</t>
  </si>
  <si>
    <t>Organização de Processos Comerciais</t>
  </si>
  <si>
    <t>Usa o grau de risco como proxy da organização interna.</t>
  </si>
  <si>
    <t>Nível de Concorrência no Nicho</t>
  </si>
  <si>
    <t>Reflete o quão saturado é o mercado em que a empresa atua.</t>
  </si>
  <si>
    <t>Pacote</t>
  </si>
  <si>
    <t>Orçamento Indicativo (€ / mês)</t>
  </si>
  <si>
    <t>Perfil de Empresa Ideal</t>
  </si>
  <si>
    <t>Observações / Ajustes para o Cliente</t>
  </si>
  <si>
    <t>Starter</t>
  </si>
  <si>
    <t>Até 500€</t>
  </si>
  <si>
    <t>Intermediário</t>
  </si>
  <si>
    <t>500€ - 1.500€</t>
  </si>
  <si>
    <t>Expansão</t>
  </si>
  <si>
    <t>1.500€ - 3.000€</t>
  </si>
  <si>
    <t>Operação Total</t>
  </si>
  <si>
    <t>Acima de 3.000€</t>
  </si>
  <si>
    <t>Campo</t>
  </si>
  <si>
    <t>Conteúdo para Preenchimento / Apresentação ao Cliente</t>
  </si>
  <si>
    <t>Resumo da Situação Atual da Empresa</t>
  </si>
  <si>
    <t>Pontos Fortes</t>
  </si>
  <si>
    <t>Principais Riscos / Fragilidades</t>
  </si>
  <si>
    <t>Potencial de Crescimento</t>
  </si>
  <si>
    <t>Investimento em Marketing Recomendado (Faixa)</t>
  </si>
  <si>
    <t>Justificativa Técnica para o Investimento</t>
  </si>
  <si>
    <t>Próximos Passos Sugeridos (em 90 dias)</t>
  </si>
  <si>
    <t>Canal</t>
  </si>
  <si>
    <t>Nº de Vendas no Período</t>
  </si>
  <si>
    <t>Faturamento no Período (€)</t>
  </si>
  <si>
    <t>Vendedor Externo</t>
  </si>
  <si>
    <t>WhatsApp</t>
  </si>
  <si>
    <t>Telefone</t>
  </si>
  <si>
    <t>Outros</t>
  </si>
  <si>
    <t>TOTAL</t>
  </si>
  <si>
    <t>Descrição</t>
  </si>
  <si>
    <t>Valor (€)</t>
  </si>
  <si>
    <t>Receita Bruta de Vendas (mensal)</t>
  </si>
  <si>
    <t>Devoluções / Descontos</t>
  </si>
  <si>
    <t>Receita Líquida de Vendas (mensal)</t>
  </si>
  <si>
    <t>Custo dos Produtos Vendidos (CPV)</t>
  </si>
  <si>
    <t>Lucro Bruto</t>
  </si>
  <si>
    <t>Markup (Receita Líquida / CPV)</t>
  </si>
  <si>
    <t>Aluguel</t>
  </si>
  <si>
    <t>Salários administrativos</t>
  </si>
  <si>
    <t>Contabilidade e serviços</t>
  </si>
  <si>
    <t>Energia / Água / Internet</t>
  </si>
  <si>
    <t>Outros custos fixos</t>
  </si>
  <si>
    <t>TOTAL CUSTO FIXO MENSAL</t>
  </si>
  <si>
    <t>Comissões de venda</t>
  </si>
  <si>
    <t>Fretes</t>
  </si>
  <si>
    <t>Impostos sobre vendas (variáveis)</t>
  </si>
  <si>
    <t>Outros custos variáveis</t>
  </si>
  <si>
    <t>TOTAL CUSTO VARIÁVEL MENSAL</t>
  </si>
  <si>
    <t>Estoque mês -2</t>
  </si>
  <si>
    <t>Estoque mês -1</t>
  </si>
  <si>
    <t>Estoque mês atual</t>
  </si>
  <si>
    <t>Estoque médio dos últimos 3 meses (€)</t>
  </si>
  <si>
    <t>Valor</t>
  </si>
  <si>
    <t>Leads no período (ex: 30 dias)</t>
  </si>
  <si>
    <t>Vendas no período</t>
  </si>
  <si>
    <t>Investimento em marketing no período (€)</t>
  </si>
  <si>
    <t>CAC (Investimento / Vendas) (€)</t>
  </si>
  <si>
    <t>Taxa de Conversão (Vendas / Leads) (%)</t>
  </si>
  <si>
    <t>Clientes recorrentes no período</t>
  </si>
  <si>
    <t>Total de clientes ativos</t>
  </si>
  <si>
    <t>% Clientes Recorrentes (%)</t>
  </si>
  <si>
    <t>Faturamento (€)</t>
  </si>
  <si>
    <t>% do Total</t>
  </si>
  <si>
    <t>Online (site, e-commerce, pedidos digitais)</t>
  </si>
  <si>
    <t>Presencial (loja física, balcão)</t>
  </si>
  <si>
    <t>Outros canais</t>
  </si>
  <si>
    <t>Faturamento há 12 meses (€)</t>
  </si>
  <si>
    <t>Faturamento atual (€)</t>
  </si>
  <si>
    <t>Crescimento realizado em 12 meses (%)</t>
  </si>
  <si>
    <t>Saldo médio de caixa mensal (€)</t>
  </si>
  <si>
    <t>Média de saídas mensais (€)</t>
  </si>
  <si>
    <t>Situação de Caixa (texto)</t>
  </si>
  <si>
    <t>Nº de clientes ativos</t>
  </si>
  <si>
    <t>Nº estimado de clientes potenciais no mercado</t>
  </si>
  <si>
    <t>Participação aproximada (%)</t>
  </si>
  <si>
    <t>Classificação de Penetração (Baixo / Médio / Alto)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</si>
</sst>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2" numFmtId="4" xfId="0" applyFont="1" applyNumberFormat="1"/>
    <xf borderId="2" fillId="0" fontId="1" numFmtId="0" xfId="0" applyAlignment="1" applyBorder="1" applyFont="1">
      <alignment horizontal="center" vertical="top"/>
    </xf>
    <xf borderId="0" fillId="0" fontId="2" numFmtId="2" xfId="0" applyFont="1" applyNumberFormat="1"/>
    <xf borderId="0" fillId="0" fontId="2" numFmtId="4" xfId="0" applyAlignment="1" applyFont="1" applyNumberFormat="1">
      <alignment horizontal="righ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2">
    <tableStyle count="3" pivot="0" name="1_Resumo_Info-style">
      <tableStyleElement dxfId="1" type="headerRow"/>
      <tableStyleElement dxfId="2" type="firstRowStripe"/>
      <tableStyleElement dxfId="2" type="secondRowStripe"/>
    </tableStyle>
    <tableStyle count="3" pivot="0" name="2_Analise_Fin-style">
      <tableStyleElement dxfId="1" type="headerRow"/>
      <tableStyleElement dxfId="2" type="firstRowStripe"/>
      <tableStyleElement dxfId="2" type="secondRowStripe"/>
    </tableStyle>
    <tableStyle count="3" pivot="0" name="3_Perfil_Crescimento-style">
      <tableStyleElement dxfId="1" type="headerRow"/>
      <tableStyleElement dxfId="2" type="firstRowStripe"/>
      <tableStyleElement dxfId="2" type="secondRowStripe"/>
    </tableStyle>
    <tableStyle count="3" pivot="0" name="4_Recomendacao-style">
      <tableStyleElement dxfId="1" type="headerRow"/>
      <tableStyleElement dxfId="2" type="firstRowStripe"/>
      <tableStyleElement dxfId="2" type="secondRowStripe"/>
    </tableStyle>
    <tableStyle count="3" pivot="0" name="5_Relatorio-style">
      <tableStyleElement dxfId="1" type="headerRow"/>
      <tableStyleElement dxfId="2" type="firstRowStripe"/>
      <tableStyleElement dxfId="2" type="secondRowStripe"/>
    </tableStyle>
    <tableStyle count="3" pivot="0" name="6_Ticket_Medio-style">
      <tableStyleElement dxfId="1" type="headerRow"/>
      <tableStyleElement dxfId="2" type="firstRowStripe"/>
      <tableStyleElement dxfId="2" type="secondRowStripe"/>
    </tableStyle>
    <tableStyle count="3" pivot="0" name="7_Margem_Markup-style">
      <tableStyleElement dxfId="1" type="headerRow"/>
      <tableStyleElement dxfId="2" type="firstRowStripe"/>
      <tableStyleElement dxfId="2" type="secondRowStripe"/>
    </tableStyle>
    <tableStyle count="3" pivot="0" name="8_Custos_Estoque-style">
      <tableStyleElement dxfId="1" type="headerRow"/>
      <tableStyleElement dxfId="2" type="firstRowStripe"/>
      <tableStyleElement dxfId="2" type="secondRowStripe"/>
    </tableStyle>
    <tableStyle count="3" pivot="0" name="9_Clientes_Conversao_CAC-style">
      <tableStyleElement dxfId="1" type="headerRow"/>
      <tableStyleElement dxfId="2" type="firstRowStripe"/>
      <tableStyleElement dxfId="2" type="secondRowStripe"/>
    </tableStyle>
    <tableStyle count="3" pivot="0" name="10_Canais_Venda-style">
      <tableStyleElement dxfId="1" type="headerRow"/>
      <tableStyleElement dxfId="2" type="firstRowStripe"/>
      <tableStyleElement dxfId="2" type="secondRowStripe"/>
    </tableStyle>
    <tableStyle count="3" pivot="0" name="11_Crescimento_Caixa_Dividas-style">
      <tableStyleElement dxfId="1" type="headerRow"/>
      <tableStyleElement dxfId="2" type="firstRowStripe"/>
      <tableStyleElement dxfId="2" type="secondRowStripe"/>
    </tableStyle>
    <tableStyle count="3" pivot="0" name="12_Penetracao_Mercado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7" displayName="Table_1" name="Table_1" id="1">
  <tableColumns count="2">
    <tableColumn name="Pergunta" id="1"/>
    <tableColumn name="Resposta do Cliente" id="2"/>
  </tableColumns>
  <tableStyleInfo name="1_Resumo_Info-style" showColumnStripes="0" showFirstColumn="1" showLastColumn="1" showRowStripes="1"/>
</table>
</file>

<file path=xl/tables/table2.xml><?xml version="1.0" encoding="utf-8"?>
<table xmlns="http://schemas.openxmlformats.org/spreadsheetml/2006/main" ref="A1:C13" displayName="Table_2" name="Table_2" id="2">
  <tableColumns count="3">
    <tableColumn name="Indicador" id="1"/>
    <tableColumn name="Descrição / Observação" id="2"/>
    <tableColumn name="Valor / Cálculo" id="3"/>
  </tableColumns>
  <tableStyleInfo name="2_Analise_Fin-style" showColumnStripes="0" showFirstColumn="1" showLastColumn="1" showRowStripes="1"/>
</table>
</file>

<file path=xl/tables/table3.xml><?xml version="1.0" encoding="utf-8"?>
<table xmlns="http://schemas.openxmlformats.org/spreadsheetml/2006/main" ref="A1:C7" displayName="Table_3" name="Table_3" id="3">
  <tableColumns count="3">
    <tableColumn name="Critério" id="1"/>
    <tableColumn name="Avaliação (Baixo / Médio / Alto ou Descrição)" id="2"/>
    <tableColumn name="Comentário Estratégico" id="3"/>
  </tableColumns>
  <tableStyleInfo name="3_Perfil_Crescimento-style" showColumnStripes="0" showFirstColumn="1" showLastColumn="1" showRowStripes="1"/>
</table>
</file>

<file path=xl/tables/table4.xml><?xml version="1.0" encoding="utf-8"?>
<table xmlns="http://schemas.openxmlformats.org/spreadsheetml/2006/main" ref="A1:D5" displayName="Table_4" name="Table_4" id="4">
  <tableColumns count="4">
    <tableColumn name="Pacote" id="1"/>
    <tableColumn name="Orçamento Indicativo (€ / mês)" id="2"/>
    <tableColumn name="Perfil de Empresa Ideal" id="3"/>
    <tableColumn name="Observações / Ajustes para o Cliente" id="4"/>
  </tableColumns>
  <tableStyleInfo name="4_Recomendacao-style" showColumnStripes="0" showFirstColumn="1" showLastColumn="1" showRowStripes="1"/>
</table>
</file>

<file path=xl/tables/table5.xml><?xml version="1.0" encoding="utf-8"?>
<table xmlns="http://schemas.openxmlformats.org/spreadsheetml/2006/main" ref="A1:B8" displayName="Table_5" name="Table_5" id="5">
  <tableColumns count="2">
    <tableColumn name="Campo" id="1"/>
    <tableColumn name="Conteúdo para Preenchimento / Apresentação ao Cliente" id="2"/>
  </tableColumns>
  <tableStyleInfo name="5_Relatorio-style" showColumnStripes="0" showFirstColumn="1" showLastColumn="1" showRowStripes="1"/>
</table>
</file>

<file path=xl/tables/table6.xml><?xml version="1.0" encoding="utf-8"?>
<table xmlns="http://schemas.openxmlformats.org/spreadsheetml/2006/main" ref="A1:D6" displayName="Table_6" name="Table_6" id="6">
  <tableColumns count="4">
    <tableColumn name="Canal" id="1"/>
    <tableColumn name="Nº de Vendas no Período" id="2"/>
    <tableColumn name="Faturamento no Período (€)" id="3"/>
    <tableColumn name="Ticket Médio (€)" id="4"/>
  </tableColumns>
  <tableStyleInfo name="6_Ticket_Medio-style" showColumnStripes="0" showFirstColumn="1" showLastColumn="1" showRowStripes="1"/>
</table>
</file>

<file path=xl/tables/table7.xml><?xml version="1.0" encoding="utf-8"?>
<table xmlns="http://schemas.openxmlformats.org/spreadsheetml/2006/main" ref="A1:B8" displayName="Table_7" name="Table_7" id="7">
  <tableColumns count="2">
    <tableColumn name="Descrição" id="1"/>
    <tableColumn name="Valor (€)" id="2"/>
  </tableColumns>
  <tableStyleInfo name="7_Margem_Markup-style" showColumnStripes="0" showFirstColumn="1" showLastColumn="1" showRowStripes="1"/>
</table>
</file>

<file path=xl/tables/table8.xml><?xml version="1.0" encoding="utf-8"?>
<table xmlns="http://schemas.openxmlformats.org/spreadsheetml/2006/main" ref="A1:B18" displayName="Table_8" name="Table_8" id="8">
  <tableColumns count="2">
    <tableColumn name="Descrição" id="1"/>
    <tableColumn name="Valor (€)" id="2"/>
  </tableColumns>
  <tableStyleInfo name="8_Custos_Estoque-style" showColumnStripes="0" showFirstColumn="1" showLastColumn="1" showRowStripes="1"/>
</table>
</file>

<file path=xl/tables/table9.xml><?xml version="1.0" encoding="utf-8"?>
<table xmlns="http://schemas.openxmlformats.org/spreadsheetml/2006/main" ref="A1:B9" displayName="Table_9" name="Table_9" id="9">
  <tableColumns count="2">
    <tableColumn name="Indicador" id="1"/>
    <tableColumn name="Valor" id="2"/>
  </tableColumns>
  <tableStyleInfo name="9_Clientes_Conversao_CAC-style" showColumnStripes="0" showFirstColumn="1" showLastColumn="1" showRowStripes="1"/>
</table>
</file>

<file path=xl/tables/table10.xml><?xml version="1.0" encoding="utf-8"?>
<table xmlns="http://schemas.openxmlformats.org/spreadsheetml/2006/main" ref="A1:C5" displayName="Table_10" name="Table_10" id="10">
  <tableColumns count="3">
    <tableColumn name="Canal" id="1"/>
    <tableColumn name="Faturamento (€)" id="2"/>
    <tableColumn name="% do Total" id="3"/>
  </tableColumns>
  <tableStyleInfo name="10_Canais_Venda-style" showColumnStripes="0" showFirstColumn="1" showLastColumn="1" showRowStripes="1"/>
</table>
</file>

<file path=xl/tables/table11.xml><?xml version="1.0" encoding="utf-8"?>
<table xmlns="http://schemas.openxmlformats.org/spreadsheetml/2006/main" ref="A1:B9" displayName="Table_11" name="Table_11" id="11">
  <tableColumns count="2">
    <tableColumn name="Indicador" id="1"/>
    <tableColumn name="Valor" id="2"/>
  </tableColumns>
  <tableStyleInfo name="11_Crescimento_Caixa_Dividas-style" showColumnStripes="0" showFirstColumn="1" showLastColumn="1" showRowStripes="1"/>
</table>
</file>

<file path=xl/tables/table12.xml><?xml version="1.0" encoding="utf-8"?>
<table xmlns="http://schemas.openxmlformats.org/spreadsheetml/2006/main" ref="A1:B5" displayName="Table_12" name="Table_12" id="12">
  <tableColumns count="2">
    <tableColumn name="Indicador" id="1"/>
    <tableColumn name="Valor" id="2"/>
  </tableColumns>
  <tableStyleInfo name="12_Penetracao_Merc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29"/>
    <col customWidth="1" min="2" max="2" width="35.14"/>
    <col customWidth="1" min="3" max="3" width="30.71"/>
    <col customWidth="1" min="4" max="22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8</v>
      </c>
      <c r="B5" s="5">
        <v>12.0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9</v>
      </c>
      <c r="B6" s="5">
        <f>'7_Margem_Markup'!B4</f>
        <v>90000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10</v>
      </c>
      <c r="B7" s="5">
        <f>B6*12</f>
        <v>1080000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11</v>
      </c>
      <c r="B8" s="5">
        <f>'6_Ticket_Medio'!D6</f>
        <v>160.3174603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3" t="s">
        <v>12</v>
      </c>
      <c r="B9" s="5">
        <f>'7_Margem_Markup'!B7</f>
        <v>17.66666667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3" t="s">
        <v>13</v>
      </c>
      <c r="B10" s="5">
        <f>'7_Margem_Markup'!B8</f>
        <v>1.214574899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3" t="s">
        <v>14</v>
      </c>
      <c r="B11" s="5">
        <f>'8_Custos_Estoque'!B7</f>
        <v>32000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3" t="s">
        <v>15</v>
      </c>
      <c r="B12" s="5">
        <f>'8_Custos_Estoque'!B13</f>
        <v>22000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3" t="s">
        <v>16</v>
      </c>
      <c r="B13" s="5">
        <v>14.0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3" t="s">
        <v>17</v>
      </c>
      <c r="B14" s="5">
        <f>'8_Custos_Estoque'!B18</f>
        <v>35000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3" t="s">
        <v>18</v>
      </c>
      <c r="B15" s="5">
        <f>'9_Clientes_Conversao_CAC'!B9</f>
        <v>20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3" t="s">
        <v>19</v>
      </c>
      <c r="B16" s="5">
        <f>'9_Clientes_Conversao_CAC'!B6</f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3" t="s">
        <v>20</v>
      </c>
      <c r="B17" s="5">
        <f>'9_Clientes_Conversao_CAC'!B5</f>
        <v>37.5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3" t="s">
        <v>21</v>
      </c>
      <c r="B18" s="5">
        <f>'10_Canais_Venda'!C2</f>
        <v>15.78947368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3" t="s">
        <v>22</v>
      </c>
      <c r="B19" s="5">
        <f>'10_Canais_Venda'!C3</f>
        <v>73.68421053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3" t="s">
        <v>23</v>
      </c>
      <c r="B20" s="5">
        <f>'9_Clientes_Conversao_CAC'!B3</f>
        <v>80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3" t="s">
        <v>24</v>
      </c>
      <c r="B21" s="5">
        <f>'11_Crescimento_Caixa_Dividas'!B5</f>
        <v>20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3" t="s">
        <v>25</v>
      </c>
      <c r="B22" s="5" t="str">
        <f>'11_Crescimento_Caixa_Dividas'!B9</f>
        <v>Aperto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3" t="s">
        <v>26</v>
      </c>
      <c r="B23" s="5">
        <f>'11_Crescimento_Caixa_Dividas'!B8</f>
        <v>25000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3" t="s">
        <v>27</v>
      </c>
      <c r="B24" s="5" t="str">
        <f>'12_Penetracao_Mercado'!B5</f>
        <v>Baixo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3" t="s">
        <v>28</v>
      </c>
      <c r="B25" s="5" t="s">
        <v>29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3" t="s">
        <v>30</v>
      </c>
      <c r="B26" s="5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3" t="s">
        <v>32</v>
      </c>
      <c r="B27" s="5" t="s">
        <v>33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43"/>
    <col customWidth="1" min="2" max="2" width="52.86"/>
    <col customWidth="1" min="3" max="4" width="30.71"/>
    <col customWidth="1" min="5" max="23" width="8.71"/>
  </cols>
  <sheetData>
    <row r="1">
      <c r="A1" s="6" t="s">
        <v>34</v>
      </c>
      <c r="B1" s="6" t="s">
        <v>35</v>
      </c>
      <c r="C1" s="6" t="s">
        <v>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37</v>
      </c>
      <c r="C2" s="5">
        <f>'1_Resumo_Info'!B6</f>
        <v>90000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</v>
      </c>
      <c r="B3" s="3" t="s">
        <v>37</v>
      </c>
      <c r="C3" s="7">
        <f>'1_Resumo_Info'!B9</f>
        <v>17.66666667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38</v>
      </c>
      <c r="B4" s="3" t="s">
        <v>39</v>
      </c>
      <c r="C4" s="5">
        <f>C2*(C3/100)</f>
        <v>15900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37</v>
      </c>
      <c r="C5" s="5">
        <f>'1_Resumo_Info'!B10</f>
        <v>1.214574899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40</v>
      </c>
      <c r="B6" s="3" t="s">
        <v>41</v>
      </c>
      <c r="C6" s="5">
        <f>C4-C5</f>
        <v>15898.78543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42</v>
      </c>
      <c r="B7" s="3" t="s">
        <v>43</v>
      </c>
      <c r="C7" s="5">
        <f>IF(C3&gt;0,C5/(C3/100),0)</f>
        <v>6.874952257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3" t="s">
        <v>45</v>
      </c>
      <c r="C8" s="5">
        <f>C2*0.03</f>
        <v>2700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46</v>
      </c>
      <c r="B9" s="3" t="s">
        <v>47</v>
      </c>
      <c r="C9" s="5">
        <f>C2*0.05</f>
        <v>4500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48</v>
      </c>
      <c r="B10" s="3" t="s">
        <v>49</v>
      </c>
      <c r="C10" s="5">
        <f>C2*0.1</f>
        <v>9000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50</v>
      </c>
      <c r="B11" s="3" t="s">
        <v>51</v>
      </c>
      <c r="C11" s="8" t="str">
        <f>IF(C6&lt;=0,"Alto",IF(C6&lt;C2*0.1,"Médio","Baixo"))</f>
        <v>Baixo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52</v>
      </c>
      <c r="B12" s="3" t="s">
        <v>53</v>
      </c>
      <c r="C12" s="5">
        <f>'1_Resumo_Info'!B8*0.2</f>
        <v>32.06349206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54</v>
      </c>
      <c r="B13" s="3" t="s">
        <v>55</v>
      </c>
      <c r="C13" s="5">
        <f>'1_Resumo_Info'!B8*0.05</f>
        <v>8.015873016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2" width="43.43"/>
    <col customWidth="1" min="3" max="3" width="56.0"/>
    <col customWidth="1" min="4" max="4" width="30.71"/>
    <col customWidth="1" min="5" max="23" width="8.71"/>
  </cols>
  <sheetData>
    <row r="1">
      <c r="A1" s="6" t="s">
        <v>56</v>
      </c>
      <c r="B1" s="6" t="s">
        <v>57</v>
      </c>
      <c r="C1" s="6" t="s">
        <v>58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59</v>
      </c>
      <c r="B2" s="3" t="str">
        <f>IF('2_Analise_Fin'!C6&lt;=0,"Baixa",IF('2_Analise_Fin'!C6&lt;'2_Analise_Fin'!C2*0.1,"Equilíbrio","Alta"))</f>
        <v>Alta</v>
      </c>
      <c r="C2" s="3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</v>
      </c>
      <c r="B3" s="3" t="str">
        <f>IF('2_Analise_Fin'!C3&lt;20,"Baixa",IF('2_Analise_Fin'!C3&lt;40,"Equilíbrio","Alta"))</f>
        <v>Baixa</v>
      </c>
      <c r="C3" s="3" t="s">
        <v>61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62</v>
      </c>
      <c r="B4" s="3" t="str">
        <f>IF('11_Crescimento_Caixa_Dividas'!B4&lt;10,"Baixa",IF('11_Crescimento_Caixa_Dividas'!B4&lt;25,"Equilíbrio","Alta"))</f>
        <v>Equilíbrio</v>
      </c>
      <c r="C4" s="3" t="s">
        <v>63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64</v>
      </c>
      <c r="B5" s="3" t="str">
        <f>IF('2_Analise_Fin'!C11="Alto","Baixa",IF('2_Analise_Fin'!C11="Médio","Limitada","Alta"))</f>
        <v>Alta</v>
      </c>
      <c r="C5" s="3" t="s">
        <v>65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66</v>
      </c>
      <c r="B6" s="3" t="str">
        <f>IF('2_Analise_Fin'!C10="Alto","Baixa",IF('2_Analise_Fin'!C10="Médio","Limitada","Alta"))</f>
        <v>Alta</v>
      </c>
      <c r="C6" s="3" t="s">
        <v>67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68</v>
      </c>
      <c r="B7" s="3" t="str">
        <f>IF('12_Penetracao_Mercado'!B5="Alto","Alta",IF('12_Penetracao_Mercado'!B5="Médio","Equilíbrio","Baixa"))</f>
        <v>Baixa</v>
      </c>
      <c r="C7" s="3" t="s">
        <v>69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30.71"/>
    <col customWidth="1" min="3" max="3" width="40.43"/>
    <col customWidth="1" min="4" max="4" width="48.57"/>
    <col customWidth="1" min="5" max="24" width="8.71"/>
  </cols>
  <sheetData>
    <row r="1">
      <c r="A1" s="6" t="s">
        <v>70</v>
      </c>
      <c r="B1" s="6" t="s">
        <v>71</v>
      </c>
      <c r="C1" s="6" t="s">
        <v>72</v>
      </c>
      <c r="D1" s="6" t="s">
        <v>73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74</v>
      </c>
      <c r="B2" s="3" t="s">
        <v>75</v>
      </c>
      <c r="C2" s="3" t="str">
        <f>IF('2_Analise_Fin'!C2&lt;=30000,"Micro/pequena, começando no digital, pouco histórico de marketing","")</f>
        <v/>
      </c>
      <c r="D2" s="3" t="str">
        <f>IF(C2&lt;&gt;"","Ideal para testar o canal digital com risco controlado.","")</f>
        <v/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76</v>
      </c>
      <c r="B3" s="3" t="s">
        <v>77</v>
      </c>
      <c r="C3" s="3" t="str">
        <f>IF(AND('2_Analise_Fin'!C2&gt;30000,'2_Analise_Fin'!C2&lt;=80000),"Negócio já validado, quer organizar e crescer com previsibilidade","")</f>
        <v/>
      </c>
      <c r="D3" s="3" t="str">
        <f>IF(C3&lt;&gt;"","Equilíbrio entre investimento e retorno esperado.","")</f>
        <v/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78</v>
      </c>
      <c r="B4" s="3" t="s">
        <v>79</v>
      </c>
      <c r="C4" s="9" t="str">
        <f>IF(AND('2_Analise_Fin'!C2&gt;80000,'2_Analise_Fin'!C2&lt;=150000),"Empresa em expansão com boa margem, quer dominar o nicho","")</f>
        <v>Empresa em expansão com boa margem, quer dominar o nicho</v>
      </c>
      <c r="D4" s="9" t="str">
        <f>IF(C4&lt;&gt;"","Recomendado se houver apetite para crescer e capacidade operacional para suportar o volume.","")</f>
        <v>Recomendado se houver apetite para crescer e capacidade operacional para suportar o volume.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80</v>
      </c>
      <c r="B5" s="3" t="s">
        <v>81</v>
      </c>
      <c r="C5" s="3" t="str">
        <f>IF('2_Analise_Fin'!C2&gt;150000,"Empresa estruturada, foco em escala, múltiplos canais e automação","")</f>
        <v/>
      </c>
      <c r="D5" s="3" t="str">
        <f>IF(C5&lt;&gt;"","Indicado para empresas que já dominam processos internos e querem escalar.","")</f>
        <v/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2" width="97.71"/>
    <col customWidth="1" min="3" max="4" width="30.71"/>
    <col customWidth="1" min="5" max="22" width="8.71"/>
  </cols>
  <sheetData>
    <row r="1">
      <c r="A1" s="6" t="s">
        <v>82</v>
      </c>
      <c r="B1" s="6" t="s">
        <v>83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10" t="str">
        <f>"A empresa "&amp;'1_Resumo_Info'!B2&amp;" atua no segmento de "&amp;'1_Resumo_Info'!B3&amp;" na região de "&amp;'1_Resumo_Info'!B4&amp;", com faturamento médio mensal de "&amp;TEXT('1_Resumo_Info'!B6,"#,##0")&amp;"€ e margem bruta de "&amp;TEXT('1_Resumo_Info'!B9,"0")&amp;"%."</f>
        <v>A empresa MaxDistribuidora atua no segmento de Distribuição de bebidas na região de Porto, com faturamento médio mensal de 90 000€ e margem bruta de 18%.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85</v>
      </c>
      <c r="B3" s="10" t="str">
        <f>"Histórico de "&amp;'1_Resumo_Info'!B4&amp;" anos de atuação, carteira consolidada e faturamento recorrente."</f>
        <v>Histórico de Porto anos de atuação, carteira consolidada e faturamento recorrente.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86</v>
      </c>
      <c r="B4" s="11" t="str">
        <f>"Margem bruta de "&amp;TEXT('2_Analise_Fin'!C3,"0")&amp;"% em um mercado competitivo exige disciplina de preço e volume, com atenção à concorrência (percepção: "&amp;'1_Resumo_Info'!B23&amp;")."</f>
        <v>Margem bruta de 18% em um mercado competitivo exige disciplina de preço e volume, com atenção à concorrência (percepção: 25000).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87</v>
      </c>
      <c r="B5" s="10" t="str">
        <f>"Com meta de crescimento de "&amp;TEXT('11_Crescimento_Caixa_Dividas'!B5,"0")&amp;"% em 12 meses, há potencial de crescimento compatível com o setor, desde que o investimento em marketing seja alinhado à capacidade de caixa e margem."</f>
        <v>Com meta de crescimento de 20% em 12 meses, há potencial de crescimento compatível com o setor, desde que o investimento em marketing seja alinhado à capacidade de caixa e margem.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88</v>
      </c>
      <c r="B6" s="10" t="str">
        <f>"Com base no faturamento atual, o investimento recomendado em marketing fica entre "&amp;TEXT('2_Analise_Fin'!C8,"#,##0")&amp;"€ e "&amp;TEXT('2_Analise_Fin'!C9,"#,##0")&amp;"€ por mês."</f>
        <v>Com base no faturamento atual, o investimento recomendado em marketing fica entre 2 700€ e 4 500€ por mês.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89</v>
      </c>
      <c r="B7" s="10" t="str">
        <f>"Os percentuais de 3% a 5% do faturamento consideram a realidade de margem e risco calculados na análise financeira, permitindo testar, otimizar e só então ganhar escala com segurança."</f>
        <v>Os percentuais de 3% a 5% do faturamento consideram a realidade de margem e risco calculados na análise financeira, permitindo testar, otimizar e só então ganhar escala com segurança.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90</v>
      </c>
      <c r="B8" s="10" t="str">
        <f>"1) Organizar funil comercial e CRM. 2) Estruturar campanhas focadas em clientes de maior volume. 3) Acompanhar KPIs como ticket médio, margem, CAC e churn mensalmente."</f>
        <v>1) Organizar funil comercial e CRM. 2) Estruturar campanhas focadas em clientes de maior volume. 3) Acompanhar KPIs como ticket médio, margem, CAC e churn mensalmente.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4" width="8.71"/>
  </cols>
  <sheetData>
    <row r="1">
      <c r="A1" s="6" t="s">
        <v>91</v>
      </c>
      <c r="B1" s="6" t="s">
        <v>92</v>
      </c>
      <c r="C1" s="6" t="s">
        <v>93</v>
      </c>
      <c r="D1" s="6" t="s">
        <v>11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94</v>
      </c>
      <c r="B2" s="12">
        <v>320.0</v>
      </c>
      <c r="C2" s="8">
        <v>58000.0</v>
      </c>
      <c r="D2" s="5">
        <f t="shared" ref="D2:D6" si="1">IF(B2&gt;0,C2/B2,"")</f>
        <v>181.25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95</v>
      </c>
      <c r="B3" s="12">
        <v>180.0</v>
      </c>
      <c r="C3" s="8">
        <v>24000.0</v>
      </c>
      <c r="D3" s="5">
        <f t="shared" si="1"/>
        <v>133.3333333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96</v>
      </c>
      <c r="B4" s="12">
        <v>90.0</v>
      </c>
      <c r="C4" s="8">
        <v>14000.0</v>
      </c>
      <c r="D4" s="5">
        <f t="shared" si="1"/>
        <v>155.5555556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97</v>
      </c>
      <c r="B5" s="12">
        <v>40.0</v>
      </c>
      <c r="C5" s="8">
        <v>5000.0</v>
      </c>
      <c r="D5" s="5">
        <f t="shared" si="1"/>
        <v>125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98</v>
      </c>
      <c r="B6" s="12">
        <f t="shared" ref="B6:C6" si="2">SUM(B2:B5)</f>
        <v>630</v>
      </c>
      <c r="C6" s="8">
        <f t="shared" si="2"/>
        <v>101000</v>
      </c>
      <c r="D6" s="5">
        <f t="shared" si="1"/>
        <v>160.3174603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2" width="8.71"/>
  </cols>
  <sheetData>
    <row r="1">
      <c r="A1" s="6" t="s">
        <v>99</v>
      </c>
      <c r="B1" s="6" t="s">
        <v>100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101</v>
      </c>
      <c r="B2" s="3">
        <v>95000.0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102</v>
      </c>
      <c r="B3" s="5">
        <v>5000.0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103</v>
      </c>
      <c r="B4" s="5">
        <f>B2-B3</f>
        <v>90000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104</v>
      </c>
      <c r="B5" s="5">
        <v>74100.0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105</v>
      </c>
      <c r="B6" s="5">
        <f>B4-B5</f>
        <v>15900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12</v>
      </c>
      <c r="B7" s="5">
        <f>IF(B4&gt;0,B6/B4*100,"")</f>
        <v>17.66666667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106</v>
      </c>
      <c r="B8" s="5">
        <f>IF(B5&gt;0,B4/B5,"")</f>
        <v>1.214574899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2" width="8.71"/>
  </cols>
  <sheetData>
    <row r="1">
      <c r="A1" s="6" t="s">
        <v>99</v>
      </c>
      <c r="B1" s="6" t="s">
        <v>100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107</v>
      </c>
      <c r="B2" s="3">
        <v>8000.0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108</v>
      </c>
      <c r="B3" s="5">
        <v>18000.0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109</v>
      </c>
      <c r="B4" s="5">
        <v>2000.0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110</v>
      </c>
      <c r="B5" s="5">
        <v>1500.0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111</v>
      </c>
      <c r="B6" s="5">
        <v>2500.0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112</v>
      </c>
      <c r="B7" s="5">
        <f>SUM(B2:B6)</f>
        <v>32000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113</v>
      </c>
      <c r="B9" s="5">
        <v>12000.0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114</v>
      </c>
      <c r="B10" s="5">
        <v>6000.0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115</v>
      </c>
      <c r="B11" s="5">
        <v>4000.0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116</v>
      </c>
      <c r="B12" s="5">
        <v>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117</v>
      </c>
      <c r="B13" s="5">
        <f>SUM(B8:B11)</f>
        <v>22000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118</v>
      </c>
      <c r="B15" s="5">
        <v>34000.0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119</v>
      </c>
      <c r="B16" s="5">
        <v>36000.0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120</v>
      </c>
      <c r="B17" s="5">
        <v>35000.0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121</v>
      </c>
      <c r="B18" s="5">
        <f>AVERAGE(B14:B16)</f>
        <v>35000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2" width="8.71"/>
  </cols>
  <sheetData>
    <row r="1">
      <c r="A1" s="6" t="s">
        <v>34</v>
      </c>
      <c r="B1" s="6" t="s">
        <v>122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123</v>
      </c>
      <c r="B2" s="3">
        <v>800.0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124</v>
      </c>
      <c r="B3" s="5">
        <v>80.0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125</v>
      </c>
      <c r="B4" s="5">
        <v>3000.0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126</v>
      </c>
      <c r="B5" s="5">
        <f>IF(B3&gt;0,B4/B3,"")</f>
        <v>37.5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127</v>
      </c>
      <c r="B6" s="5">
        <f>IF(B2&gt;0,B3/B2*100,"")</f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128</v>
      </c>
      <c r="B7" s="5">
        <v>50.0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129</v>
      </c>
      <c r="B8" s="5">
        <v>200.0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130</v>
      </c>
      <c r="B9" s="5">
        <f>IF(B7&gt;0,B6/B7*100,"")</f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3" width="8.71"/>
  </cols>
  <sheetData>
    <row r="1">
      <c r="A1" s="6" t="s">
        <v>91</v>
      </c>
      <c r="B1" s="6" t="s">
        <v>131</v>
      </c>
      <c r="C1" s="6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133</v>
      </c>
      <c r="B2" s="5">
        <v>15000.0</v>
      </c>
      <c r="C2" s="5">
        <f t="shared" ref="C2:C4" si="1">IF($B$5&gt;0,B2/$B$5*100,"")</f>
        <v>15.78947368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134</v>
      </c>
      <c r="B3" s="5">
        <v>70000.0</v>
      </c>
      <c r="C3" s="5">
        <f t="shared" si="1"/>
        <v>73.68421053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135</v>
      </c>
      <c r="B4" s="5">
        <v>10000.0</v>
      </c>
      <c r="C4" s="5">
        <f t="shared" si="1"/>
        <v>10.52631579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98</v>
      </c>
      <c r="B5" s="5">
        <f>SUM(B2:B4)</f>
        <v>95000</v>
      </c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4" width="30.71"/>
    <col customWidth="1" min="5" max="22" width="8.71"/>
  </cols>
  <sheetData>
    <row r="1">
      <c r="A1" s="6" t="s">
        <v>34</v>
      </c>
      <c r="B1" s="6" t="s">
        <v>122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136</v>
      </c>
      <c r="B2" s="3">
        <v>80000.0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137</v>
      </c>
      <c r="B3" s="8">
        <f>'1_Resumo_Info'!B6</f>
        <v>90000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138</v>
      </c>
      <c r="B4" s="8">
        <f>IF(B2&gt;0,B3/B2*100-100,"")</f>
        <v>12.5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24</v>
      </c>
      <c r="B5" s="8">
        <v>20.0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139</v>
      </c>
      <c r="B6" s="8">
        <v>15000.0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140</v>
      </c>
      <c r="B7" s="8">
        <v>14000.0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26</v>
      </c>
      <c r="B8" s="8">
        <v>25000.0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141</v>
      </c>
      <c r="B9" s="8" t="str">
        <f>IF(B5&gt;B6,"Sobra",IF(B5&gt;=B6*0.9,"Equilíbrio","Aperto"))</f>
        <v>Aperto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71"/>
    <col customWidth="1" min="2" max="2" width="38.43"/>
    <col customWidth="1" min="3" max="4" width="30.71"/>
    <col customWidth="1" min="5" max="22" width="8.71"/>
  </cols>
  <sheetData>
    <row r="1">
      <c r="A1" s="6" t="s">
        <v>34</v>
      </c>
      <c r="B1" s="6" t="s">
        <v>122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142</v>
      </c>
      <c r="B2" s="5">
        <f>'9_Clientes_Conversao_CAC'!B7</f>
        <v>50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143</v>
      </c>
      <c r="B3" s="8">
        <v>1500.0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144</v>
      </c>
      <c r="B4" s="8">
        <f>IF(B3&gt;0, B2/B3 * 100, "")</f>
        <v>3.333333333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145</v>
      </c>
      <c r="B5" s="8" t="str">
        <f>IF(B4&lt;10,"Baixo",IF(B4&lt;30,"Médio","Alto"))</f>
        <v>Baixo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2025-11-18T11:43:17Z</dcterms:created>
  <dc:creator>openpyxl</dc:creator>
</cp:coreProperties>
</file>